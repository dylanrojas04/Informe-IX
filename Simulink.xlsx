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inss\Desktop\UMNG\Semestres\6to Semestre\Comunicaciones Digitales\Corte 3\"/>
    </mc:Choice>
  </mc:AlternateContent>
  <xr:revisionPtr revIDLastSave="0" documentId="13_ncr:1_{08B11C5C-C599-4558-BBED-AFE1D8B6DB32}" xr6:coauthVersionLast="47" xr6:coauthVersionMax="47" xr10:uidLastSave="{00000000-0000-0000-0000-000000000000}"/>
  <bookViews>
    <workbookView xWindow="-108" yWindow="-108" windowWidth="23256" windowHeight="13176" xr2:uid="{78CE8A7D-5BD7-413F-87DD-9C9704238F4D}"/>
  </bookViews>
  <sheets>
    <sheet name="BPSK con y sin Codificacion" sheetId="1" r:id="rId1"/>
    <sheet name="16-QAM con y sin Codificac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2" l="1"/>
  <c r="J7" i="2"/>
  <c r="J8" i="2"/>
  <c r="J9" i="2"/>
  <c r="J10" i="2"/>
  <c r="J11" i="2"/>
  <c r="J12" i="2"/>
  <c r="J13" i="2"/>
  <c r="J14" i="2"/>
  <c r="J15" i="2"/>
  <c r="J16" i="2"/>
  <c r="J6" i="2"/>
</calcChain>
</file>

<file path=xl/sharedStrings.xml><?xml version="1.0" encoding="utf-8"?>
<sst xmlns="http://schemas.openxmlformats.org/spreadsheetml/2006/main" count="22" uniqueCount="9">
  <si>
    <t>SNR (dB)</t>
  </si>
  <si>
    <t xml:space="preserve"> BPSK</t>
  </si>
  <si>
    <t>Simbolos</t>
  </si>
  <si>
    <t>BER</t>
  </si>
  <si>
    <t>Errores</t>
  </si>
  <si>
    <t>BPSK-Hamming Encoder</t>
  </si>
  <si>
    <t>Imagen</t>
  </si>
  <si>
    <t>16-QAM</t>
  </si>
  <si>
    <t>16-QAM-Hamming 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</si>
</sst>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Sin codificar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'BPSK con y sin Codificacion'!$B$5:$B$16</c:f>
              <c:numCache>
                <c:formatCode>General</c:formatCode>
                <c:ptCount val="12"/>
                <c:pt idx="0">
                  <c:v>-10</c:v>
                </c:pt>
                <c:pt idx="1">
                  <c:v>-20</c:v>
                </c:pt>
                <c:pt idx="2">
                  <c:v>-30</c:v>
                </c:pt>
                <c:pt idx="3">
                  <c:v>-40</c:v>
                </c:pt>
                <c:pt idx="4">
                  <c:v>10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'BPSK con y sin Codificacion'!$C$5:$C$16</c:f>
              <c:numCache>
                <c:formatCode>General</c:formatCode>
                <c:ptCount val="12"/>
                <c:pt idx="0">
                  <c:v>0.35510000000000003</c:v>
                </c:pt>
                <c:pt idx="1">
                  <c:v>0.49020000000000002</c:v>
                </c:pt>
                <c:pt idx="2">
                  <c:v>0.52600000000000002</c:v>
                </c:pt>
                <c:pt idx="3">
                  <c:v>0.54349999999999998</c:v>
                </c:pt>
                <c:pt idx="4">
                  <c:v>0</c:v>
                </c:pt>
                <c:pt idx="5">
                  <c:v>8.5620000000000002E-2</c:v>
                </c:pt>
                <c:pt idx="6">
                  <c:v>8.1729999999999997E-2</c:v>
                </c:pt>
                <c:pt idx="7">
                  <c:v>4.4249999999999998E-2</c:v>
                </c:pt>
                <c:pt idx="8">
                  <c:v>2.4680000000000001E-2</c:v>
                </c:pt>
                <c:pt idx="9">
                  <c:v>1.235E-2</c:v>
                </c:pt>
                <c:pt idx="10">
                  <c:v>5.5979999999999997E-3</c:v>
                </c:pt>
                <c:pt idx="11">
                  <c:v>2.199E-3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0-4E39-BDA2-8A112927B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030272"/>
        <c:axId val="685031352"/>
      </c:scatterChart>
      <c:valAx>
        <c:axId val="68503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5031352"/>
        <c:crosses val="autoZero"/>
        <c:crossBetween val="midCat"/>
      </c:valAx>
      <c:valAx>
        <c:axId val="68503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503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'BPSK con y sin Codificacion'!$B$5:$B$16</c:f>
              <c:numCache>
                <c:formatCode>General</c:formatCode>
                <c:ptCount val="12"/>
                <c:pt idx="0">
                  <c:v>-10</c:v>
                </c:pt>
                <c:pt idx="1">
                  <c:v>-20</c:v>
                </c:pt>
                <c:pt idx="2">
                  <c:v>-30</c:v>
                </c:pt>
                <c:pt idx="3">
                  <c:v>-40</c:v>
                </c:pt>
                <c:pt idx="4">
                  <c:v>10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'BPSK con y sin Codificacion'!$H$5:$H$16</c:f>
              <c:numCache>
                <c:formatCode>General</c:formatCode>
                <c:ptCount val="12"/>
                <c:pt idx="0">
                  <c:v>102</c:v>
                </c:pt>
                <c:pt idx="1">
                  <c:v>99</c:v>
                </c:pt>
                <c:pt idx="2">
                  <c:v>99</c:v>
                </c:pt>
                <c:pt idx="3">
                  <c:v>101</c:v>
                </c:pt>
                <c:pt idx="4">
                  <c:v>0</c:v>
                </c:pt>
                <c:pt idx="5">
                  <c:v>71</c:v>
                </c:pt>
                <c:pt idx="6">
                  <c:v>52</c:v>
                </c:pt>
                <c:pt idx="7">
                  <c:v>21</c:v>
                </c:pt>
                <c:pt idx="8">
                  <c:v>13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6F-4B86-A257-5B748CBEA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030272"/>
        <c:axId val="685031352"/>
      </c:scatterChart>
      <c:valAx>
        <c:axId val="68503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5031352"/>
        <c:crosses val="autoZero"/>
        <c:crossBetween val="midCat"/>
      </c:valAx>
      <c:valAx>
        <c:axId val="68503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5030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Sin Codificar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'16-QAM con y sin Codificacion'!$C$6:$C$17</c:f>
              <c:numCache>
                <c:formatCode>General</c:formatCode>
                <c:ptCount val="12"/>
                <c:pt idx="0">
                  <c:v>-10</c:v>
                </c:pt>
                <c:pt idx="1">
                  <c:v>-20</c:v>
                </c:pt>
                <c:pt idx="2">
                  <c:v>-30</c:v>
                </c:pt>
                <c:pt idx="3">
                  <c:v>-40</c:v>
                </c:pt>
                <c:pt idx="4">
                  <c:v>10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'16-QAM con y sin Codificacion'!$D$6:$D$17</c:f>
              <c:numCache>
                <c:formatCode>General</c:formatCode>
                <c:ptCount val="12"/>
                <c:pt idx="0">
                  <c:v>0.43969999999999998</c:v>
                </c:pt>
                <c:pt idx="1">
                  <c:v>0.48159999999999997</c:v>
                </c:pt>
                <c:pt idx="2">
                  <c:v>0.49440000000000001</c:v>
                </c:pt>
                <c:pt idx="3">
                  <c:v>0.4985</c:v>
                </c:pt>
                <c:pt idx="4">
                  <c:v>5.8869999999999999E-2</c:v>
                </c:pt>
                <c:pt idx="5">
                  <c:v>0.2863</c:v>
                </c:pt>
                <c:pt idx="6">
                  <c:v>0.26169999999999999</c:v>
                </c:pt>
                <c:pt idx="7">
                  <c:v>0.23699999999999999</c:v>
                </c:pt>
                <c:pt idx="8">
                  <c:v>0.21160000000000001</c:v>
                </c:pt>
                <c:pt idx="9">
                  <c:v>0.18690000000000001</c:v>
                </c:pt>
                <c:pt idx="10">
                  <c:v>0.16350000000000001</c:v>
                </c:pt>
                <c:pt idx="11">
                  <c:v>0.14080000000000001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A7-4EB6-8F58-C8E886945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589376"/>
        <c:axId val="691589736"/>
      </c:scatterChart>
      <c:valAx>
        <c:axId val="69158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1589736"/>
        <c:crosses val="autoZero"/>
        <c:crossBetween val="midCat"/>
      </c:valAx>
      <c:valAx>
        <c:axId val="69158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158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Codificado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power"/>
            <c:dispRSqr val="0"/>
            <c:dispEq val="0"/>
          </c:trendline>
          <c:xVal>
            <c:numRef>
              <c:f>'16-QAM con y sin Codificacion'!$C$6:$C$17</c:f>
              <c:numCache>
                <c:formatCode>General</c:formatCode>
                <c:ptCount val="12"/>
                <c:pt idx="0">
                  <c:v>-10</c:v>
                </c:pt>
                <c:pt idx="1">
                  <c:v>-20</c:v>
                </c:pt>
                <c:pt idx="2">
                  <c:v>-30</c:v>
                </c:pt>
                <c:pt idx="3">
                  <c:v>-40</c:v>
                </c:pt>
                <c:pt idx="4">
                  <c:v>10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</c:numCache>
            </c:numRef>
          </c:xVal>
          <c:yVal>
            <c:numRef>
              <c:f>'16-QAM con y sin Codificacion'!$H$6:$H$17</c:f>
              <c:numCache>
                <c:formatCode>General</c:formatCode>
                <c:ptCount val="12"/>
                <c:pt idx="0">
                  <c:v>0.4995</c:v>
                </c:pt>
                <c:pt idx="1">
                  <c:v>0.50070000000000003</c:v>
                </c:pt>
                <c:pt idx="2">
                  <c:v>0.50090000000000001</c:v>
                </c:pt>
                <c:pt idx="3">
                  <c:v>0.49940000000000001</c:v>
                </c:pt>
                <c:pt idx="4">
                  <c:v>4.9199999999999999E-3</c:v>
                </c:pt>
                <c:pt idx="5">
                  <c:v>0.49659999999999999</c:v>
                </c:pt>
                <c:pt idx="6">
                  <c:v>0.49519999999999997</c:v>
                </c:pt>
                <c:pt idx="7">
                  <c:v>0.49020000000000002</c:v>
                </c:pt>
                <c:pt idx="8">
                  <c:v>0.48020000000000002</c:v>
                </c:pt>
                <c:pt idx="9">
                  <c:v>0.45760000000000001</c:v>
                </c:pt>
                <c:pt idx="10">
                  <c:v>0.41099999999999998</c:v>
                </c:pt>
                <c:pt idx="11">
                  <c:v>0.32200000000000001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1-4260-88FD-7427EF47E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068960"/>
        <c:axId val="685066440"/>
      </c:scatterChart>
      <c:valAx>
        <c:axId val="6850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5066440"/>
        <c:crosses val="autoZero"/>
        <c:crossBetween val="midCat"/>
      </c:valAx>
      <c:valAx>
        <c:axId val="6850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506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chart" Target="../charts/chart1.xml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13" Type="http://schemas.openxmlformats.org/officeDocument/2006/relationships/image" Target="../media/image38.png"/><Relationship Id="rId18" Type="http://schemas.openxmlformats.org/officeDocument/2006/relationships/image" Target="../media/image43.png"/><Relationship Id="rId26" Type="http://schemas.openxmlformats.org/officeDocument/2006/relationships/chart" Target="../charts/chart3.xml"/><Relationship Id="rId3" Type="http://schemas.openxmlformats.org/officeDocument/2006/relationships/image" Target="../media/image28.png"/><Relationship Id="rId21" Type="http://schemas.openxmlformats.org/officeDocument/2006/relationships/image" Target="../media/image46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17" Type="http://schemas.openxmlformats.org/officeDocument/2006/relationships/image" Target="../media/image42.png"/><Relationship Id="rId25" Type="http://schemas.openxmlformats.org/officeDocument/2006/relationships/image" Target="../media/image50.png"/><Relationship Id="rId2" Type="http://schemas.openxmlformats.org/officeDocument/2006/relationships/image" Target="../media/image27.png"/><Relationship Id="rId16" Type="http://schemas.openxmlformats.org/officeDocument/2006/relationships/image" Target="../media/image41.png"/><Relationship Id="rId20" Type="http://schemas.openxmlformats.org/officeDocument/2006/relationships/image" Target="../media/image45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24" Type="http://schemas.openxmlformats.org/officeDocument/2006/relationships/image" Target="../media/image49.png"/><Relationship Id="rId5" Type="http://schemas.openxmlformats.org/officeDocument/2006/relationships/image" Target="../media/image30.png"/><Relationship Id="rId15" Type="http://schemas.openxmlformats.org/officeDocument/2006/relationships/image" Target="../media/image40.png"/><Relationship Id="rId23" Type="http://schemas.openxmlformats.org/officeDocument/2006/relationships/image" Target="../media/image48.png"/><Relationship Id="rId10" Type="http://schemas.openxmlformats.org/officeDocument/2006/relationships/image" Target="../media/image35.png"/><Relationship Id="rId19" Type="http://schemas.openxmlformats.org/officeDocument/2006/relationships/image" Target="../media/image44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Relationship Id="rId22" Type="http://schemas.openxmlformats.org/officeDocument/2006/relationships/image" Target="../media/image47.png"/><Relationship Id="rId27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784859</xdr:colOff>
      <xdr:row>4</xdr:row>
      <xdr:rowOff>6123</xdr:rowOff>
    </xdr:from>
    <xdr:to>
      <xdr:col>6</xdr:col>
      <xdr:colOff>0</xdr:colOff>
      <xdr:row>5</xdr:row>
      <xdr:rowOff>9436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CB3B88-9D3B-43D2-8D4D-08680DA8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4779" y="737643"/>
          <a:ext cx="1402081" cy="121489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5157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AE97D8-BBD4-A553-16B4-31D4CF820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4300" y="731520"/>
          <a:ext cx="1394460" cy="1216737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1394459</xdr:colOff>
      <xdr:row>6</xdr:row>
      <xdr:rowOff>11007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0F45256-DDBC-F78D-2C5F-EBDAAB7B9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400" y="1943100"/>
          <a:ext cx="1394459" cy="12225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15240</xdr:colOff>
      <xdr:row>6</xdr:row>
      <xdr:rowOff>15239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C7F90DE-47B7-B00E-22E2-4F55C4F8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34300" y="1943100"/>
          <a:ext cx="1409700" cy="1226819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6</xdr:row>
      <xdr:rowOff>0</xdr:rowOff>
    </xdr:from>
    <xdr:to>
      <xdr:col>6</xdr:col>
      <xdr:colOff>1</xdr:colOff>
      <xdr:row>7</xdr:row>
      <xdr:rowOff>7620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193A884-7917-4264-E646-BBBDFC29A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62401" y="3154680"/>
          <a:ext cx="1394460" cy="1219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1393229</xdr:colOff>
      <xdr:row>6</xdr:row>
      <xdr:rowOff>1211579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FEE5C6A-E2A9-E000-66AF-7EFDBBD0B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34300" y="3154680"/>
          <a:ext cx="1393229" cy="121157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1</xdr:rowOff>
    </xdr:from>
    <xdr:to>
      <xdr:col>6</xdr:col>
      <xdr:colOff>4968</xdr:colOff>
      <xdr:row>8</xdr:row>
      <xdr:rowOff>7620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7465D35-F468-0387-F173-9E7CAF9AA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62400" y="4366261"/>
          <a:ext cx="1399428" cy="99059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7620</xdr:colOff>
      <xdr:row>7</xdr:row>
      <xdr:rowOff>981151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C8B5E73-53AD-31FF-E479-38B84045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34300" y="4366260"/>
          <a:ext cx="1402080" cy="98115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7619</xdr:colOff>
      <xdr:row>8</xdr:row>
      <xdr:rowOff>982979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979B76D-B48F-DF23-2C62-F7A6099FA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34300" y="5349240"/>
          <a:ext cx="1402079" cy="98297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8471</xdr:colOff>
      <xdr:row>8</xdr:row>
      <xdr:rowOff>982979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FDFDE3F-7BFB-BE60-8D98-05CEFF3BB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62400" y="5349240"/>
          <a:ext cx="1402931" cy="982979"/>
        </a:xfrm>
        <a:prstGeom prst="rect">
          <a:avLst/>
        </a:prstGeom>
      </xdr:spPr>
    </xdr:pic>
    <xdr:clientData/>
  </xdr:twoCellAnchor>
  <xdr:twoCellAnchor editAs="oneCell">
    <xdr:from>
      <xdr:col>5</xdr:col>
      <xdr:colOff>7621</xdr:colOff>
      <xdr:row>9</xdr:row>
      <xdr:rowOff>0</xdr:rowOff>
    </xdr:from>
    <xdr:to>
      <xdr:col>6</xdr:col>
      <xdr:colOff>7621</xdr:colOff>
      <xdr:row>10</xdr:row>
      <xdr:rowOff>15240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AD4C44A-20A0-0398-1679-DBF22C612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70021" y="6332220"/>
          <a:ext cx="1394460" cy="118872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1</xdr:rowOff>
    </xdr:from>
    <xdr:to>
      <xdr:col>10</xdr:col>
      <xdr:colOff>7620</xdr:colOff>
      <xdr:row>10</xdr:row>
      <xdr:rowOff>7621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5A05631-32FA-D60E-11E1-2CB38442E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34300" y="6332221"/>
          <a:ext cx="1402080" cy="11811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1</xdr:rowOff>
    </xdr:from>
    <xdr:to>
      <xdr:col>10</xdr:col>
      <xdr:colOff>22860</xdr:colOff>
      <xdr:row>11</xdr:row>
      <xdr:rowOff>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51083B8-3827-6CFE-4813-5A23BAF1B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34300" y="7505701"/>
          <a:ext cx="1417320" cy="1219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1</xdr:rowOff>
    </xdr:from>
    <xdr:to>
      <xdr:col>6</xdr:col>
      <xdr:colOff>7620</xdr:colOff>
      <xdr:row>11</xdr:row>
      <xdr:rowOff>7621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020E39C-5BC2-10DB-D6CA-EEC48FEF8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62400" y="7505701"/>
          <a:ext cx="1402080" cy="1226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1</xdr:rowOff>
    </xdr:from>
    <xdr:to>
      <xdr:col>6</xdr:col>
      <xdr:colOff>7620</xdr:colOff>
      <xdr:row>12</xdr:row>
      <xdr:rowOff>1141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98A1419-B364-9B68-E03B-EB55D1B6A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62400" y="8724901"/>
          <a:ext cx="1402080" cy="12203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22860</xdr:colOff>
      <xdr:row>12</xdr:row>
      <xdr:rowOff>7620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E8BD71F-4281-0EDB-2B8D-9AF89F6BB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734300" y="8724900"/>
          <a:ext cx="1417320" cy="122682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12</xdr:row>
      <xdr:rowOff>0</xdr:rowOff>
    </xdr:from>
    <xdr:to>
      <xdr:col>6</xdr:col>
      <xdr:colOff>15241</xdr:colOff>
      <xdr:row>13</xdr:row>
      <xdr:rowOff>7620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7ED68EC-B579-55A3-2E57-116D8232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62401" y="9944100"/>
          <a:ext cx="1409700" cy="1219200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12</xdr:row>
      <xdr:rowOff>1</xdr:rowOff>
    </xdr:from>
    <xdr:to>
      <xdr:col>10</xdr:col>
      <xdr:colOff>7621</xdr:colOff>
      <xdr:row>13</xdr:row>
      <xdr:rowOff>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C8DF0D9-2101-4B71-F6C3-118A1F136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34301" y="9944101"/>
          <a:ext cx="1402080" cy="121158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13</xdr:row>
      <xdr:rowOff>1</xdr:rowOff>
    </xdr:from>
    <xdr:to>
      <xdr:col>6</xdr:col>
      <xdr:colOff>7621</xdr:colOff>
      <xdr:row>14</xdr:row>
      <xdr:rowOff>7620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5A540EC-8236-CBC0-AF77-15490682E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62401" y="11155681"/>
          <a:ext cx="1402080" cy="1219199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13</xdr:row>
      <xdr:rowOff>1</xdr:rowOff>
    </xdr:from>
    <xdr:to>
      <xdr:col>10</xdr:col>
      <xdr:colOff>0</xdr:colOff>
      <xdr:row>14</xdr:row>
      <xdr:rowOff>7621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24FCDD3-8BE9-D356-CEC7-639CCBDEC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734301" y="11155681"/>
          <a:ext cx="1394459" cy="121920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14</xdr:row>
      <xdr:rowOff>1</xdr:rowOff>
    </xdr:from>
    <xdr:to>
      <xdr:col>6</xdr:col>
      <xdr:colOff>1</xdr:colOff>
      <xdr:row>15</xdr:row>
      <xdr:rowOff>7621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47AFF29-C5DA-D927-FDC0-68E2ED488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62401" y="12367261"/>
          <a:ext cx="1394460" cy="12192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</xdr:rowOff>
    </xdr:from>
    <xdr:to>
      <xdr:col>10</xdr:col>
      <xdr:colOff>15240</xdr:colOff>
      <xdr:row>15</xdr:row>
      <xdr:rowOff>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FA57AC50-B8B0-FE72-29E2-42B12D244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734300" y="12367261"/>
          <a:ext cx="1409700" cy="121158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15</xdr:row>
      <xdr:rowOff>1</xdr:rowOff>
    </xdr:from>
    <xdr:to>
      <xdr:col>6</xdr:col>
      <xdr:colOff>7621</xdr:colOff>
      <xdr:row>16</xdr:row>
      <xdr:rowOff>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F6E14D5-41FD-8220-3351-B15D496E1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962401" y="13578841"/>
          <a:ext cx="1402080" cy="12115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1</xdr:rowOff>
    </xdr:from>
    <xdr:to>
      <xdr:col>10</xdr:col>
      <xdr:colOff>15240</xdr:colOff>
      <xdr:row>15</xdr:row>
      <xdr:rowOff>1211483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CC8D140-F51D-31B5-DA95-3D04CB2FF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734300" y="13578841"/>
          <a:ext cx="1409700" cy="1211482"/>
        </a:xfrm>
        <a:prstGeom prst="rect">
          <a:avLst/>
        </a:prstGeom>
      </xdr:spPr>
    </xdr:pic>
    <xdr:clientData/>
  </xdr:twoCellAnchor>
  <xdr:twoCellAnchor editAs="oneCell">
    <xdr:from>
      <xdr:col>0</xdr:col>
      <xdr:colOff>784860</xdr:colOff>
      <xdr:row>16</xdr:row>
      <xdr:rowOff>7620</xdr:rowOff>
    </xdr:from>
    <xdr:to>
      <xdr:col>11</xdr:col>
      <xdr:colOff>780529</xdr:colOff>
      <xdr:row>54</xdr:row>
      <xdr:rowOff>107664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C8F856E-EB6F-A834-2E7C-0DACEF0F8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84860" y="14798040"/>
          <a:ext cx="9916909" cy="7049484"/>
        </a:xfrm>
        <a:prstGeom prst="rect">
          <a:avLst/>
        </a:prstGeom>
      </xdr:spPr>
    </xdr:pic>
    <xdr:clientData/>
  </xdr:twoCellAnchor>
  <xdr:twoCellAnchor>
    <xdr:from>
      <xdr:col>10</xdr:col>
      <xdr:colOff>304800</xdr:colOff>
      <xdr:row>7</xdr:row>
      <xdr:rowOff>914400</xdr:rowOff>
    </xdr:from>
    <xdr:to>
      <xdr:col>16</xdr:col>
      <xdr:colOff>108857</xdr:colOff>
      <xdr:row>10</xdr:row>
      <xdr:rowOff>522514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9BED804C-3397-40D1-8DAB-15894A13B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10</xdr:col>
      <xdr:colOff>381000</xdr:colOff>
      <xdr:row>10</xdr:row>
      <xdr:rowOff>783771</xdr:rowOff>
    </xdr:from>
    <xdr:to>
      <xdr:col>16</xdr:col>
      <xdr:colOff>185057</xdr:colOff>
      <xdr:row>12</xdr:row>
      <xdr:rowOff>1088571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B32A9F6D-7172-4939-B3A7-DDCC6FEB3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5</xdr:row>
      <xdr:rowOff>1</xdr:rowOff>
    </xdr:from>
    <xdr:to>
      <xdr:col>7</xdr:col>
      <xdr:colOff>16667</xdr:colOff>
      <xdr:row>6</xdr:row>
      <xdr:rowOff>7621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BBEDA98-B0C8-2466-76EA-8BCD55B94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4881" y="914401"/>
          <a:ext cx="1449226" cy="1226820"/>
        </a:xfrm>
        <a:prstGeom prst="rect">
          <a:avLst/>
        </a:prstGeom>
      </xdr:spPr>
    </xdr:pic>
    <xdr:clientData/>
  </xdr:twoCellAnchor>
  <xdr:twoCellAnchor editAs="oneCell">
    <xdr:from>
      <xdr:col>9</xdr:col>
      <xdr:colOff>784860</xdr:colOff>
      <xdr:row>5</xdr:row>
      <xdr:rowOff>1</xdr:rowOff>
    </xdr:from>
    <xdr:to>
      <xdr:col>11</xdr:col>
      <xdr:colOff>7620</xdr:colOff>
      <xdr:row>6</xdr:row>
      <xdr:rowOff>3361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BD98BCC-407B-AA8A-B679-DFC2D0BD9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7260" y="914401"/>
          <a:ext cx="1447800" cy="122256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30480</xdr:colOff>
      <xdr:row>6</xdr:row>
      <xdr:rowOff>1215649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DEF491F-569A-2228-E4D1-93718128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54880" y="2133600"/>
          <a:ext cx="1463040" cy="1215649"/>
        </a:xfrm>
        <a:prstGeom prst="rect">
          <a:avLst/>
        </a:prstGeom>
      </xdr:spPr>
    </xdr:pic>
    <xdr:clientData/>
  </xdr:twoCellAnchor>
  <xdr:twoCellAnchor editAs="oneCell">
    <xdr:from>
      <xdr:col>10</xdr:col>
      <xdr:colOff>7621</xdr:colOff>
      <xdr:row>6</xdr:row>
      <xdr:rowOff>0</xdr:rowOff>
    </xdr:from>
    <xdr:to>
      <xdr:col>11</xdr:col>
      <xdr:colOff>7620</xdr:colOff>
      <xdr:row>7</xdr:row>
      <xdr:rowOff>2738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AEAAA99-98A7-2F60-6D62-FDC94CB2D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01" y="2133600"/>
          <a:ext cx="1432559" cy="1221938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</xdr:colOff>
      <xdr:row>7</xdr:row>
      <xdr:rowOff>7620</xdr:rowOff>
    </xdr:from>
    <xdr:to>
      <xdr:col>11</xdr:col>
      <xdr:colOff>15240</xdr:colOff>
      <xdr:row>8</xdr:row>
      <xdr:rowOff>22860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10BE806-BBCF-419B-8544-349F10E3C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500" y="3360420"/>
          <a:ext cx="1440180" cy="123444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7</xdr:row>
      <xdr:rowOff>0</xdr:rowOff>
    </xdr:from>
    <xdr:to>
      <xdr:col>6</xdr:col>
      <xdr:colOff>1424940</xdr:colOff>
      <xdr:row>8</xdr:row>
      <xdr:rowOff>7620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F767B2DE-B6EB-8246-36F6-F2910CC51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54881" y="3352800"/>
          <a:ext cx="1424939" cy="122682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8</xdr:row>
      <xdr:rowOff>1</xdr:rowOff>
    </xdr:from>
    <xdr:to>
      <xdr:col>7</xdr:col>
      <xdr:colOff>7620</xdr:colOff>
      <xdr:row>9</xdr:row>
      <xdr:rowOff>15241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40169D45-1511-DBCE-2185-85E0B65BD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54881" y="4572001"/>
          <a:ext cx="1440179" cy="123444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8</xdr:row>
      <xdr:rowOff>0</xdr:rowOff>
    </xdr:from>
    <xdr:to>
      <xdr:col>10</xdr:col>
      <xdr:colOff>1424941</xdr:colOff>
      <xdr:row>9</xdr:row>
      <xdr:rowOff>7620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4824DA8-CDF4-5E44-539E-3A8EE62FA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64881" y="4572000"/>
          <a:ext cx="1424940" cy="12268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1</xdr:rowOff>
    </xdr:from>
    <xdr:to>
      <xdr:col>7</xdr:col>
      <xdr:colOff>15240</xdr:colOff>
      <xdr:row>10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CEDE9055-FFBA-A1D2-0A0B-9C6B967E9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54880" y="5791201"/>
          <a:ext cx="1447800" cy="121919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9</xdr:row>
      <xdr:rowOff>1</xdr:rowOff>
    </xdr:from>
    <xdr:to>
      <xdr:col>11</xdr:col>
      <xdr:colOff>1</xdr:colOff>
      <xdr:row>10</xdr:row>
      <xdr:rowOff>7621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C71C0FFB-258F-1A5B-65CA-999DC7BE3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64881" y="5791201"/>
          <a:ext cx="1432560" cy="12268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1</xdr:rowOff>
    </xdr:from>
    <xdr:to>
      <xdr:col>7</xdr:col>
      <xdr:colOff>15240</xdr:colOff>
      <xdr:row>11</xdr:row>
      <xdr:rowOff>15241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7CE70702-3097-9D7F-E377-0E874F48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54880" y="7010401"/>
          <a:ext cx="1447800" cy="123444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10</xdr:row>
      <xdr:rowOff>0</xdr:rowOff>
    </xdr:from>
    <xdr:to>
      <xdr:col>11</xdr:col>
      <xdr:colOff>7621</xdr:colOff>
      <xdr:row>11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C4FAA952-09A3-151F-BF1B-ED20A08D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64881" y="7010400"/>
          <a:ext cx="1440180" cy="12268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15240</xdr:colOff>
      <xdr:row>12</xdr:row>
      <xdr:rowOff>7620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895B3FC7-8C63-776C-9C64-5A29E666E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54880" y="8229600"/>
          <a:ext cx="1447800" cy="122682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11</xdr:row>
      <xdr:rowOff>0</xdr:rowOff>
    </xdr:from>
    <xdr:to>
      <xdr:col>11</xdr:col>
      <xdr:colOff>15240</xdr:colOff>
      <xdr:row>11</xdr:row>
      <xdr:rowOff>1215731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76991415-CD93-F476-CDE8-A356170C5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64881" y="8229600"/>
          <a:ext cx="1447799" cy="121573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7620</xdr:colOff>
      <xdr:row>13</xdr:row>
      <xdr:rowOff>7620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89C78C9-31B5-741D-3B24-84105ACE0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54880" y="9448800"/>
          <a:ext cx="1440180" cy="122682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1</xdr:rowOff>
    </xdr:from>
    <xdr:to>
      <xdr:col>11</xdr:col>
      <xdr:colOff>7620</xdr:colOff>
      <xdr:row>13</xdr:row>
      <xdr:rowOff>7621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2E2AF8B4-4A4F-6924-8B0E-FAE83CC21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64880" y="9448801"/>
          <a:ext cx="1440180" cy="12268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1</xdr:rowOff>
    </xdr:from>
    <xdr:to>
      <xdr:col>7</xdr:col>
      <xdr:colOff>0</xdr:colOff>
      <xdr:row>13</xdr:row>
      <xdr:rowOff>1210151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3DC8865B-CAF6-0C3C-24A9-95DBA9121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54880" y="10668001"/>
          <a:ext cx="1432560" cy="121015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13</xdr:row>
      <xdr:rowOff>0</xdr:rowOff>
    </xdr:from>
    <xdr:to>
      <xdr:col>11</xdr:col>
      <xdr:colOff>7620</xdr:colOff>
      <xdr:row>14</xdr:row>
      <xdr:rowOff>3830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867FC197-BBBE-B7BC-5C40-532F67D5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64881" y="10668000"/>
          <a:ext cx="1440179" cy="121541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14</xdr:row>
      <xdr:rowOff>0</xdr:rowOff>
    </xdr:from>
    <xdr:to>
      <xdr:col>7</xdr:col>
      <xdr:colOff>15240</xdr:colOff>
      <xdr:row>15</xdr:row>
      <xdr:rowOff>15239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79A2F018-AFF1-EA94-2706-C398A24A3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54881" y="11879580"/>
          <a:ext cx="1447799" cy="121919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14</xdr:row>
      <xdr:rowOff>1</xdr:rowOff>
    </xdr:from>
    <xdr:to>
      <xdr:col>11</xdr:col>
      <xdr:colOff>15240</xdr:colOff>
      <xdr:row>15</xdr:row>
      <xdr:rowOff>7621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EB5D07C7-4273-B077-1584-6F6D3C474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64881" y="11879581"/>
          <a:ext cx="1447799" cy="121158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15</xdr:row>
      <xdr:rowOff>1</xdr:rowOff>
    </xdr:from>
    <xdr:to>
      <xdr:col>7</xdr:col>
      <xdr:colOff>15241</xdr:colOff>
      <xdr:row>15</xdr:row>
      <xdr:rowOff>1215711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8B97065A-6AC9-66E3-7C09-0C3C78DB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754881" y="13083541"/>
          <a:ext cx="1447800" cy="121571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11</xdr:col>
      <xdr:colOff>22860</xdr:colOff>
      <xdr:row>16</xdr:row>
      <xdr:rowOff>15240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9AF74FD7-B5AD-47C8-549C-858EDDCBA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64880" y="13083540"/>
          <a:ext cx="1455420" cy="123444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16</xdr:row>
      <xdr:rowOff>1</xdr:rowOff>
    </xdr:from>
    <xdr:to>
      <xdr:col>7</xdr:col>
      <xdr:colOff>1</xdr:colOff>
      <xdr:row>17</xdr:row>
      <xdr:rowOff>1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61580F23-0E3B-869F-0F50-41CA8C321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754881" y="14302741"/>
          <a:ext cx="1432560" cy="12192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1</xdr:rowOff>
    </xdr:from>
    <xdr:to>
      <xdr:col>11</xdr:col>
      <xdr:colOff>30480</xdr:colOff>
      <xdr:row>17</xdr:row>
      <xdr:rowOff>7621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7B219CB0-7269-9A2E-1B8D-07ADE7336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564880" y="14302741"/>
          <a:ext cx="1463040" cy="12268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16</xdr:col>
      <xdr:colOff>780981</xdr:colOff>
      <xdr:row>58</xdr:row>
      <xdr:rowOff>50532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EAB8C826-6EDB-7970-451C-74538655C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84960" y="15887700"/>
          <a:ext cx="13155861" cy="7182852"/>
        </a:xfrm>
        <a:prstGeom prst="rect">
          <a:avLst/>
        </a:prstGeom>
      </xdr:spPr>
    </xdr:pic>
    <xdr:clientData/>
  </xdr:twoCellAnchor>
  <xdr:twoCellAnchor>
    <xdr:from>
      <xdr:col>11</xdr:col>
      <xdr:colOff>577041</xdr:colOff>
      <xdr:row>9</xdr:row>
      <xdr:rowOff>973974</xdr:rowOff>
    </xdr:from>
    <xdr:to>
      <xdr:col>17</xdr:col>
      <xdr:colOff>396932</xdr:colOff>
      <xdr:row>12</xdr:row>
      <xdr:rowOff>59574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75657EED-5CE6-5994-470A-DF72F3FB2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685800</xdr:colOff>
      <xdr:row>12</xdr:row>
      <xdr:rowOff>214746</xdr:rowOff>
    </xdr:from>
    <xdr:to>
      <xdr:col>17</xdr:col>
      <xdr:colOff>519545</xdr:colOff>
      <xdr:row>14</xdr:row>
      <xdr:rowOff>533400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D0D8CCD5-2849-951A-418B-D5C273881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87F8-2C45-4951-9EA3-F9615D5D9CE1}">
  <dimension ref="B2:J27"/>
  <sheetViews>
    <sheetView tabSelected="1" topLeftCell="A8" zoomScale="70" zoomScaleNormal="70" workbookViewId="0">
      <selection activeCell="T9" sqref="T9"/>
    </sheetView>
  </sheetViews>
  <sheetFormatPr baseColWidth="10" defaultRowHeight="14.4" x14ac:dyDescent="0.3"/>
  <cols>
    <col min="6" max="6" width="20.33203125" customWidth="1"/>
    <col min="10" max="10" width="20.33203125" customWidth="1"/>
  </cols>
  <sheetData>
    <row r="2" spans="2:10" ht="14.4" customHeight="1" x14ac:dyDescent="0.3">
      <c r="B2" s="3" t="s">
        <v>0</v>
      </c>
      <c r="C2" s="4" t="s">
        <v>1</v>
      </c>
      <c r="D2" s="5"/>
      <c r="E2" s="5"/>
      <c r="F2" s="6"/>
      <c r="G2" s="10" t="s">
        <v>5</v>
      </c>
      <c r="H2" s="11"/>
      <c r="I2" s="11"/>
      <c r="J2" s="12"/>
    </row>
    <row r="3" spans="2:10" x14ac:dyDescent="0.3">
      <c r="B3" s="3"/>
      <c r="C3" s="2" t="s">
        <v>3</v>
      </c>
      <c r="D3" s="2" t="s">
        <v>4</v>
      </c>
      <c r="E3" s="2" t="s">
        <v>2</v>
      </c>
      <c r="F3" s="2" t="s">
        <v>6</v>
      </c>
      <c r="G3" s="2" t="s">
        <v>3</v>
      </c>
      <c r="H3" s="2" t="s">
        <v>4</v>
      </c>
      <c r="I3" s="2" t="s">
        <v>2</v>
      </c>
      <c r="J3" s="2" t="s">
        <v>6</v>
      </c>
    </row>
    <row r="4" spans="2:10" x14ac:dyDescent="0.3">
      <c r="B4" s="1"/>
      <c r="C4" s="1"/>
      <c r="D4" s="1"/>
      <c r="E4" s="1"/>
      <c r="G4" s="1"/>
      <c r="H4" s="1"/>
      <c r="I4" s="1"/>
    </row>
    <row r="5" spans="2:10" ht="95.4" customHeight="1" x14ac:dyDescent="0.3">
      <c r="B5" s="2">
        <v>-10</v>
      </c>
      <c r="C5" s="2">
        <v>0.35510000000000003</v>
      </c>
      <c r="D5" s="2">
        <v>98</v>
      </c>
      <c r="E5" s="2">
        <v>276</v>
      </c>
      <c r="F5" s="8"/>
      <c r="G5" s="2">
        <v>0.36959999999999998</v>
      </c>
      <c r="H5" s="2">
        <v>102</v>
      </c>
      <c r="I5" s="2">
        <v>276</v>
      </c>
      <c r="J5" s="9"/>
    </row>
    <row r="6" spans="2:10" ht="95.4" customHeight="1" x14ac:dyDescent="0.3">
      <c r="B6" s="2">
        <v>-20</v>
      </c>
      <c r="C6" s="2">
        <v>0.49020000000000002</v>
      </c>
      <c r="D6" s="2">
        <v>100</v>
      </c>
      <c r="E6" s="2">
        <v>204</v>
      </c>
      <c r="F6" s="8"/>
      <c r="G6" s="2">
        <v>0.48530000000000001</v>
      </c>
      <c r="H6" s="2">
        <v>99</v>
      </c>
      <c r="I6" s="2">
        <v>204</v>
      </c>
      <c r="J6" s="9"/>
    </row>
    <row r="7" spans="2:10" ht="95.4" customHeight="1" x14ac:dyDescent="0.3">
      <c r="B7" s="2">
        <v>-30</v>
      </c>
      <c r="C7" s="2">
        <v>0.52600000000000002</v>
      </c>
      <c r="D7" s="2">
        <v>101</v>
      </c>
      <c r="E7" s="2">
        <v>192</v>
      </c>
      <c r="F7" s="8"/>
      <c r="G7" s="2">
        <v>0.51559999999999995</v>
      </c>
      <c r="H7" s="2">
        <v>99</v>
      </c>
      <c r="I7" s="2">
        <v>192</v>
      </c>
      <c r="J7" s="9"/>
    </row>
    <row r="8" spans="2:10" ht="77.400000000000006" customHeight="1" x14ac:dyDescent="0.3">
      <c r="B8" s="2">
        <v>-40</v>
      </c>
      <c r="C8" s="2">
        <v>0.54349999999999998</v>
      </c>
      <c r="D8" s="2">
        <v>100</v>
      </c>
      <c r="E8" s="2">
        <v>184</v>
      </c>
      <c r="F8" s="8"/>
      <c r="G8" s="2">
        <v>0.54890000000000005</v>
      </c>
      <c r="H8" s="2">
        <v>101</v>
      </c>
      <c r="I8" s="2">
        <v>184</v>
      </c>
      <c r="J8" s="9"/>
    </row>
    <row r="9" spans="2:10" ht="77.400000000000006" customHeight="1" x14ac:dyDescent="0.3">
      <c r="B9" s="2">
        <v>10</v>
      </c>
      <c r="C9" s="2">
        <v>0</v>
      </c>
      <c r="D9" s="2">
        <v>0</v>
      </c>
      <c r="E9" s="2">
        <v>184</v>
      </c>
      <c r="F9" s="8"/>
      <c r="G9" s="2">
        <v>0</v>
      </c>
      <c r="H9" s="2">
        <v>0</v>
      </c>
      <c r="I9" s="2">
        <v>10000</v>
      </c>
      <c r="J9" s="9"/>
    </row>
    <row r="10" spans="2:10" ht="92.4" customHeight="1" x14ac:dyDescent="0.3">
      <c r="B10" s="2">
        <v>0</v>
      </c>
      <c r="C10" s="2">
        <v>8.5620000000000002E-2</v>
      </c>
      <c r="D10" s="2">
        <v>100</v>
      </c>
      <c r="E10" s="2">
        <v>1168</v>
      </c>
      <c r="F10" s="8"/>
      <c r="G10" s="2">
        <v>8.0790000000000001E-2</v>
      </c>
      <c r="H10" s="2">
        <v>71</v>
      </c>
      <c r="I10" s="2">
        <v>1168</v>
      </c>
      <c r="J10" s="9"/>
    </row>
    <row r="11" spans="2:10" ht="96" customHeight="1" x14ac:dyDescent="0.3">
      <c r="B11" s="2">
        <v>1</v>
      </c>
      <c r="C11" s="2">
        <v>8.1729999999999997E-2</v>
      </c>
      <c r="D11" s="2">
        <v>100</v>
      </c>
      <c r="E11" s="2">
        <v>1620</v>
      </c>
      <c r="F11" s="8"/>
      <c r="G11" s="2">
        <v>3.2099999999999997E-2</v>
      </c>
      <c r="H11" s="2">
        <v>52</v>
      </c>
      <c r="I11" s="2">
        <v>1620</v>
      </c>
      <c r="J11" s="9"/>
    </row>
    <row r="12" spans="2:10" ht="96" customHeight="1" x14ac:dyDescent="0.3">
      <c r="B12" s="2">
        <v>2</v>
      </c>
      <c r="C12" s="2">
        <v>4.4249999999999998E-2</v>
      </c>
      <c r="D12" s="2">
        <v>100</v>
      </c>
      <c r="E12" s="2">
        <v>2280</v>
      </c>
      <c r="F12" s="8"/>
      <c r="G12" s="2">
        <v>9.2919999999999999E-3</v>
      </c>
      <c r="H12" s="2">
        <v>21</v>
      </c>
      <c r="I12" s="2">
        <v>2280</v>
      </c>
      <c r="J12" s="9"/>
    </row>
    <row r="13" spans="2:10" ht="95.4" customHeight="1" x14ac:dyDescent="0.3">
      <c r="B13" s="2">
        <v>3</v>
      </c>
      <c r="C13" s="2">
        <v>2.4680000000000001E-2</v>
      </c>
      <c r="D13" s="2">
        <v>100</v>
      </c>
      <c r="E13" s="2">
        <v>4052</v>
      </c>
      <c r="F13" s="8"/>
      <c r="G13" s="2">
        <v>3.2079999999999999E-3</v>
      </c>
      <c r="H13" s="2">
        <v>13</v>
      </c>
      <c r="I13" s="2">
        <v>4052</v>
      </c>
      <c r="J13" s="9"/>
    </row>
    <row r="14" spans="2:10" ht="95.4" customHeight="1" x14ac:dyDescent="0.3">
      <c r="B14" s="2">
        <v>4</v>
      </c>
      <c r="C14" s="2">
        <v>1.235E-2</v>
      </c>
      <c r="D14" s="2">
        <v>100</v>
      </c>
      <c r="E14" s="2">
        <v>8096</v>
      </c>
      <c r="F14" s="8"/>
      <c r="G14" s="2">
        <v>1.1119999999999999E-3</v>
      </c>
      <c r="H14" s="2">
        <v>9</v>
      </c>
      <c r="I14" s="2">
        <v>8096</v>
      </c>
      <c r="J14" s="9"/>
    </row>
    <row r="15" spans="2:10" ht="95.4" customHeight="1" x14ac:dyDescent="0.3">
      <c r="B15" s="2">
        <v>5</v>
      </c>
      <c r="C15" s="2">
        <v>5.5979999999999997E-3</v>
      </c>
      <c r="D15" s="2">
        <v>56</v>
      </c>
      <c r="E15" s="2">
        <v>10000</v>
      </c>
      <c r="F15" s="8"/>
      <c r="G15" s="2">
        <v>0</v>
      </c>
      <c r="H15" s="2">
        <v>0</v>
      </c>
      <c r="I15" s="2">
        <v>10000</v>
      </c>
      <c r="J15" s="9"/>
    </row>
    <row r="16" spans="2:10" ht="95.4" customHeight="1" x14ac:dyDescent="0.3">
      <c r="B16" s="2">
        <v>6</v>
      </c>
      <c r="C16" s="2">
        <v>2.199E-3</v>
      </c>
      <c r="D16" s="2">
        <v>22</v>
      </c>
      <c r="E16" s="2">
        <v>10000</v>
      </c>
      <c r="F16" s="8"/>
      <c r="G16" s="2">
        <v>0</v>
      </c>
      <c r="H16" s="2">
        <v>0</v>
      </c>
      <c r="I16" s="2">
        <v>10000</v>
      </c>
      <c r="J16" s="9"/>
    </row>
    <row r="17" spans="2:8" x14ac:dyDescent="0.3">
      <c r="B17" s="1"/>
      <c r="C17" s="1"/>
      <c r="D17" s="1"/>
      <c r="E17" s="1"/>
      <c r="F17" s="1"/>
      <c r="G17" s="1"/>
      <c r="H17" s="1"/>
    </row>
    <row r="18" spans="2:8" x14ac:dyDescent="0.3">
      <c r="B18" s="1"/>
      <c r="C18" s="1"/>
      <c r="D18" s="1"/>
      <c r="E18" s="1"/>
      <c r="F18" s="1"/>
      <c r="G18" s="1"/>
      <c r="H18" s="1"/>
    </row>
    <row r="19" spans="2:8" x14ac:dyDescent="0.3">
      <c r="B19" s="1"/>
      <c r="C19" s="1"/>
      <c r="D19" s="1"/>
      <c r="E19" s="1"/>
      <c r="F19" s="1"/>
      <c r="G19" s="1"/>
      <c r="H19" s="1"/>
    </row>
    <row r="20" spans="2:8" x14ac:dyDescent="0.3">
      <c r="B20" s="1"/>
      <c r="C20" s="1"/>
      <c r="D20" s="1"/>
      <c r="E20" s="1"/>
      <c r="F20" s="1"/>
      <c r="G20" s="1"/>
      <c r="H20" s="1"/>
    </row>
    <row r="21" spans="2:8" x14ac:dyDescent="0.3">
      <c r="B21" s="1"/>
      <c r="C21" s="1"/>
      <c r="D21" s="1"/>
      <c r="E21" s="1"/>
      <c r="F21" s="1"/>
      <c r="G21" s="1"/>
      <c r="H21" s="1"/>
    </row>
    <row r="22" spans="2:8" x14ac:dyDescent="0.3">
      <c r="B22" s="1"/>
      <c r="C22" s="1"/>
      <c r="D22" s="1"/>
      <c r="E22" s="1"/>
      <c r="F22" s="1"/>
      <c r="G22" s="1"/>
      <c r="H22" s="1"/>
    </row>
    <row r="23" spans="2:8" x14ac:dyDescent="0.3">
      <c r="B23" s="1"/>
      <c r="C23" s="1"/>
      <c r="D23" s="1"/>
      <c r="E23" s="1"/>
      <c r="F23" s="1"/>
      <c r="G23" s="1"/>
      <c r="H23" s="1"/>
    </row>
    <row r="24" spans="2:8" x14ac:dyDescent="0.3">
      <c r="B24" s="1"/>
      <c r="C24" s="1"/>
      <c r="D24" s="1"/>
      <c r="E24" s="1"/>
      <c r="F24" s="1"/>
      <c r="G24" s="1"/>
      <c r="H24" s="1"/>
    </row>
    <row r="25" spans="2:8" x14ac:dyDescent="0.3">
      <c r="B25" s="1"/>
      <c r="C25" s="1"/>
      <c r="D25" s="1"/>
      <c r="E25" s="1"/>
      <c r="F25" s="1"/>
      <c r="G25" s="1"/>
      <c r="H25" s="1"/>
    </row>
    <row r="26" spans="2:8" x14ac:dyDescent="0.3">
      <c r="B26" s="1"/>
      <c r="C26" s="1"/>
      <c r="D26" s="1"/>
      <c r="E26" s="1"/>
      <c r="F26" s="1"/>
      <c r="G26" s="1"/>
      <c r="H26" s="1"/>
    </row>
    <row r="27" spans="2:8" x14ac:dyDescent="0.3">
      <c r="B27" s="1"/>
      <c r="C27" s="1"/>
      <c r="D27" s="1"/>
      <c r="E27" s="1"/>
      <c r="F27" s="1"/>
      <c r="G27" s="1"/>
      <c r="H27" s="1"/>
    </row>
  </sheetData>
  <mergeCells count="3">
    <mergeCell ref="B2:B3"/>
    <mergeCell ref="C2:F2"/>
    <mergeCell ref="G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CA0F-C907-4977-8046-5B4191F0BC89}">
  <dimension ref="C3:K17"/>
  <sheetViews>
    <sheetView topLeftCell="A10" zoomScale="55" zoomScaleNormal="55" workbookViewId="0">
      <selection activeCell="W14" sqref="W14"/>
    </sheetView>
  </sheetViews>
  <sheetFormatPr baseColWidth="10" defaultRowHeight="14.4" x14ac:dyDescent="0.3"/>
  <cols>
    <col min="7" max="7" width="20.88671875" customWidth="1"/>
    <col min="11" max="11" width="20.88671875" customWidth="1"/>
  </cols>
  <sheetData>
    <row r="3" spans="3:11" x14ac:dyDescent="0.3">
      <c r="C3" s="3" t="s">
        <v>0</v>
      </c>
      <c r="D3" s="4" t="s">
        <v>7</v>
      </c>
      <c r="E3" s="5"/>
      <c r="F3" s="5"/>
      <c r="G3" s="6"/>
      <c r="H3" s="10" t="s">
        <v>8</v>
      </c>
      <c r="I3" s="11"/>
      <c r="J3" s="11"/>
      <c r="K3" s="12"/>
    </row>
    <row r="4" spans="3:11" x14ac:dyDescent="0.3">
      <c r="C4" s="3"/>
      <c r="D4" s="2" t="s">
        <v>3</v>
      </c>
      <c r="E4" s="2" t="s">
        <v>4</v>
      </c>
      <c r="F4" s="2" t="s">
        <v>2</v>
      </c>
      <c r="G4" s="2" t="s">
        <v>6</v>
      </c>
      <c r="H4" s="2" t="s">
        <v>3</v>
      </c>
      <c r="I4" s="2" t="s">
        <v>4</v>
      </c>
      <c r="J4" s="2" t="s">
        <v>2</v>
      </c>
      <c r="K4" s="2" t="s">
        <v>6</v>
      </c>
    </row>
    <row r="5" spans="3:11" x14ac:dyDescent="0.3">
      <c r="C5" s="1"/>
      <c r="D5" s="1"/>
      <c r="E5" s="1"/>
      <c r="F5" s="1"/>
      <c r="H5" s="1"/>
      <c r="I5" s="1"/>
      <c r="J5" s="1"/>
    </row>
    <row r="6" spans="3:11" ht="96" customHeight="1" x14ac:dyDescent="0.3">
      <c r="C6" s="2">
        <v>-10</v>
      </c>
      <c r="D6" s="2">
        <v>0.43969999999999998</v>
      </c>
      <c r="E6" s="7">
        <v>220000</v>
      </c>
      <c r="F6" s="7">
        <v>500200</v>
      </c>
      <c r="G6" s="8"/>
      <c r="H6" s="2">
        <v>0.4995</v>
      </c>
      <c r="I6" s="7">
        <v>249800</v>
      </c>
      <c r="J6" s="7">
        <f>F6</f>
        <v>500200</v>
      </c>
      <c r="K6" s="9"/>
    </row>
    <row r="7" spans="3:11" ht="96" customHeight="1" x14ac:dyDescent="0.3">
      <c r="C7" s="2">
        <v>-20</v>
      </c>
      <c r="D7" s="2">
        <v>0.48159999999999997</v>
      </c>
      <c r="E7" s="7">
        <v>240900</v>
      </c>
      <c r="F7" s="7">
        <v>500200</v>
      </c>
      <c r="G7" s="8"/>
      <c r="H7" s="2">
        <v>0.50070000000000003</v>
      </c>
      <c r="I7" s="7">
        <v>250500</v>
      </c>
      <c r="J7" s="7">
        <f t="shared" ref="J7:J16" si="0">F7</f>
        <v>500200</v>
      </c>
      <c r="K7" s="9"/>
    </row>
    <row r="8" spans="3:11" ht="96" customHeight="1" x14ac:dyDescent="0.3">
      <c r="C8" s="2">
        <v>-30</v>
      </c>
      <c r="D8" s="2">
        <v>0.49440000000000001</v>
      </c>
      <c r="E8" s="7">
        <v>247300</v>
      </c>
      <c r="F8" s="7">
        <v>500200</v>
      </c>
      <c r="G8" s="8"/>
      <c r="H8" s="2">
        <v>0.50090000000000001</v>
      </c>
      <c r="I8" s="7">
        <v>250500</v>
      </c>
      <c r="J8" s="7">
        <f t="shared" si="0"/>
        <v>500200</v>
      </c>
      <c r="K8" s="9"/>
    </row>
    <row r="9" spans="3:11" ht="96" customHeight="1" x14ac:dyDescent="0.3">
      <c r="C9" s="2">
        <v>-40</v>
      </c>
      <c r="D9" s="2">
        <v>0.4985</v>
      </c>
      <c r="E9" s="7">
        <v>249400</v>
      </c>
      <c r="F9" s="7">
        <v>500200</v>
      </c>
      <c r="G9" s="8"/>
      <c r="H9" s="2">
        <v>0.49940000000000001</v>
      </c>
      <c r="I9" s="7">
        <v>249800</v>
      </c>
      <c r="J9" s="7">
        <f t="shared" si="0"/>
        <v>500200</v>
      </c>
      <c r="K9" s="9"/>
    </row>
    <row r="10" spans="3:11" ht="96" customHeight="1" x14ac:dyDescent="0.3">
      <c r="C10" s="2">
        <v>10</v>
      </c>
      <c r="D10" s="2">
        <v>5.8869999999999999E-2</v>
      </c>
      <c r="E10" s="7">
        <v>29450</v>
      </c>
      <c r="F10" s="7">
        <v>500200</v>
      </c>
      <c r="G10" s="8"/>
      <c r="H10" s="2">
        <v>4.9199999999999999E-3</v>
      </c>
      <c r="I10" s="2">
        <v>2461</v>
      </c>
      <c r="J10" s="7">
        <f t="shared" si="0"/>
        <v>500200</v>
      </c>
      <c r="K10" s="9"/>
    </row>
    <row r="11" spans="3:11" ht="96" customHeight="1" x14ac:dyDescent="0.3">
      <c r="C11" s="2">
        <v>0</v>
      </c>
      <c r="D11" s="2">
        <v>0.2863</v>
      </c>
      <c r="E11" s="7">
        <v>143200</v>
      </c>
      <c r="F11" s="7">
        <v>500200</v>
      </c>
      <c r="G11" s="8"/>
      <c r="H11" s="2">
        <v>0.49659999999999999</v>
      </c>
      <c r="I11" s="7">
        <v>248400</v>
      </c>
      <c r="J11" s="7">
        <f t="shared" si="0"/>
        <v>500200</v>
      </c>
      <c r="K11" s="9"/>
    </row>
    <row r="12" spans="3:11" ht="96" customHeight="1" x14ac:dyDescent="0.3">
      <c r="C12" s="2">
        <v>1</v>
      </c>
      <c r="D12" s="2">
        <v>0.26169999999999999</v>
      </c>
      <c r="E12" s="7">
        <v>130900</v>
      </c>
      <c r="F12" s="7">
        <v>500200</v>
      </c>
      <c r="G12" s="8"/>
      <c r="H12" s="2">
        <v>0.49519999999999997</v>
      </c>
      <c r="I12" s="7">
        <v>247700</v>
      </c>
      <c r="J12" s="7">
        <f t="shared" si="0"/>
        <v>500200</v>
      </c>
      <c r="K12" s="9"/>
    </row>
    <row r="13" spans="3:11" ht="96" customHeight="1" x14ac:dyDescent="0.3">
      <c r="C13" s="2">
        <v>2</v>
      </c>
      <c r="D13" s="2">
        <v>0.23699999999999999</v>
      </c>
      <c r="E13" s="7">
        <v>118500</v>
      </c>
      <c r="F13" s="7">
        <v>500200</v>
      </c>
      <c r="G13" s="8"/>
      <c r="H13" s="2">
        <v>0.49020000000000002</v>
      </c>
      <c r="I13" s="7">
        <v>245200</v>
      </c>
      <c r="J13" s="7">
        <f t="shared" si="0"/>
        <v>500200</v>
      </c>
      <c r="K13" s="9"/>
    </row>
    <row r="14" spans="3:11" ht="95.4" customHeight="1" x14ac:dyDescent="0.3">
      <c r="C14" s="2">
        <v>3</v>
      </c>
      <c r="D14" s="2">
        <v>0.21160000000000001</v>
      </c>
      <c r="E14" s="7">
        <v>105800</v>
      </c>
      <c r="F14" s="7">
        <v>500200</v>
      </c>
      <c r="G14" s="8"/>
      <c r="H14" s="2">
        <v>0.48020000000000002</v>
      </c>
      <c r="I14" s="7">
        <v>240200</v>
      </c>
      <c r="J14" s="7">
        <f t="shared" si="0"/>
        <v>500200</v>
      </c>
      <c r="K14" s="9"/>
    </row>
    <row r="15" spans="3:11" ht="94.8" customHeight="1" x14ac:dyDescent="0.3">
      <c r="C15" s="2">
        <v>4</v>
      </c>
      <c r="D15" s="2">
        <v>0.18690000000000001</v>
      </c>
      <c r="E15" s="7">
        <v>93510</v>
      </c>
      <c r="F15" s="7">
        <v>500200</v>
      </c>
      <c r="G15" s="8"/>
      <c r="H15" s="2">
        <v>0.45760000000000001</v>
      </c>
      <c r="I15" s="7">
        <v>228900</v>
      </c>
      <c r="J15" s="7">
        <f t="shared" si="0"/>
        <v>500200</v>
      </c>
      <c r="K15" s="9"/>
    </row>
    <row r="16" spans="3:11" ht="96" customHeight="1" x14ac:dyDescent="0.3">
      <c r="C16" s="2">
        <v>5</v>
      </c>
      <c r="D16" s="2">
        <v>0.16350000000000001</v>
      </c>
      <c r="E16" s="7">
        <v>81770</v>
      </c>
      <c r="F16" s="7">
        <v>500200</v>
      </c>
      <c r="G16" s="8"/>
      <c r="H16" s="2">
        <v>0.41099999999999998</v>
      </c>
      <c r="I16" s="7">
        <v>205600</v>
      </c>
      <c r="J16" s="7">
        <f t="shared" si="0"/>
        <v>500200</v>
      </c>
      <c r="K16" s="9"/>
    </row>
    <row r="17" spans="3:11" ht="96" customHeight="1" x14ac:dyDescent="0.3">
      <c r="C17" s="2">
        <v>6</v>
      </c>
      <c r="D17" s="2">
        <v>0.14080000000000001</v>
      </c>
      <c r="E17" s="2">
        <v>70420</v>
      </c>
      <c r="F17" s="2">
        <v>500200</v>
      </c>
      <c r="G17" s="8"/>
      <c r="H17" s="2">
        <v>0.32200000000000001</v>
      </c>
      <c r="I17" s="7">
        <v>161000</v>
      </c>
      <c r="J17" s="7">
        <f>F17</f>
        <v>500200</v>
      </c>
      <c r="K17" s="9"/>
    </row>
  </sheetData>
  <mergeCells count="3">
    <mergeCell ref="C3:C4"/>
    <mergeCell ref="D3:G3"/>
    <mergeCell ref="H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BPSK con y sin Codificacion</vt:lpstr>
      <vt:lpstr>16-QAM con y sin Codificacion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Rojas</dc:creator>
  <cp:lastModifiedBy>Dylan Rojas</cp:lastModifiedBy>
  <dcterms:created xsi:type="dcterms:W3CDTF">2025-11-05T01:22:25Z</dcterms:created>
  <dcterms:modified xsi:type="dcterms:W3CDTF">2025-11-05T04:37:10Z</dcterms:modified>
</cp:coreProperties>
</file>